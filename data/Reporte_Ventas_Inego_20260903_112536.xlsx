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C2410C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164" fontId="0" fillId="0" borderId="1" pivotButton="0" quotePrefix="0" xfId="0"/>
    <xf numFmtId="164" fontId="4" fillId="0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left"/>
    </xf>
    <xf numFmtId="164" fontId="0" fillId="4" borderId="1" pivotButton="0" quotePrefix="0" xfId="0"/>
    <xf numFmtId="164" fontId="4" fillId="4" borderId="1" pivotButton="0" quotePrefix="0" xfId="0"/>
    <xf numFmtId="164" fontId="5" fillId="0" borderId="1" pivotButton="0" quotePrefix="0" xfId="0"/>
    <xf numFmtId="164" fontId="5" fillId="4" borderId="1" pivotButton="0" quotePrefix="0" xfId="0"/>
    <xf numFmtId="0" fontId="4" fillId="5" borderId="1" applyAlignment="1" pivotButton="0" quotePrefix="0" xfId="0">
      <alignment horizontal="right" vertical="center"/>
    </xf>
    <xf numFmtId="0" fontId="0" fillId="5" borderId="1" pivotButton="0" quotePrefix="0" xfId="0"/>
    <xf numFmtId="164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16" customWidth="1" min="2" max="2"/>
    <col width="39" customWidth="1" min="3" max="3"/>
    <col width="16" customWidth="1" min="4" max="4"/>
    <col width="15" customWidth="1" min="5" max="5"/>
    <col width="15" customWidth="1" min="6" max="6"/>
    <col width="13" customWidth="1" min="7" max="7"/>
    <col width="23" customWidth="1" min="8" max="8"/>
    <col width="101" customWidth="1" min="9" max="9"/>
    <col width="13" customWidth="1" min="10" max="10"/>
    <col width="14" customWidth="1" min="11" max="11"/>
    <col width="20" customWidth="1" min="12" max="12"/>
    <col width="22" customWidth="1" min="13" max="13"/>
    <col width="15" customWidth="1" min="14" max="14"/>
    <col width="22" customWidth="1" min="15" max="15"/>
    <col width="20" customWidth="1" min="16" max="16"/>
    <col width="19" customWidth="1" min="17" max="17"/>
    <col width="24" customWidth="1" min="18" max="18"/>
    <col width="26" customWidth="1" min="19" max="19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2026-09-03 11:25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 / Razón Social</t>
        </is>
      </c>
      <c r="D4" s="3" t="inlineStr">
        <is>
          <t>RUC / Cédula</t>
        </is>
      </c>
      <c r="E4" s="3" t="inlineStr">
        <is>
          <t>Tipo Cliente</t>
        </is>
      </c>
      <c r="F4" s="3" t="inlineStr">
        <is>
          <t>Días Crédito</t>
        </is>
      </c>
      <c r="G4" s="3" t="inlineStr">
        <is>
          <t>Estado</t>
        </is>
      </c>
      <c r="H4" s="3" t="inlineStr">
        <is>
          <t>Aplica Retención SRI</t>
        </is>
      </c>
      <c r="I4" s="3" t="inlineStr">
        <is>
          <t>Producto / Ítem (Lista Desglosada)</t>
        </is>
      </c>
      <c r="J4" s="3" t="inlineStr">
        <is>
          <t>Cant.</t>
        </is>
      </c>
      <c r="K4" s="3" t="inlineStr">
        <is>
          <t>P. Unit ($)</t>
        </is>
      </c>
      <c r="L4" s="3" t="inlineStr">
        <is>
          <t>Subtotal Ítem ($)</t>
        </is>
      </c>
      <c r="M4" s="3" t="inlineStr">
        <is>
          <t>Subtotal Trans. ($)</t>
        </is>
      </c>
      <c r="N4" s="3" t="inlineStr">
        <is>
          <t>IVA 15% ($)</t>
        </is>
      </c>
      <c r="O4" s="3" t="inlineStr">
        <is>
          <t>Total Facturado ($)</t>
        </is>
      </c>
      <c r="P4" s="3" t="inlineStr">
        <is>
          <t>Ret. IR 1.75% ($)</t>
        </is>
      </c>
      <c r="Q4" s="3" t="inlineStr">
        <is>
          <t>Ret. IVA 30% ($)</t>
        </is>
      </c>
      <c r="R4" s="3" t="inlineStr">
        <is>
          <t>Total Retenciones ($)</t>
        </is>
      </c>
      <c r="S4" s="3" t="inlineStr">
        <is>
          <t>Valor Neto a Cobrar ($)</t>
        </is>
      </c>
    </row>
    <row r="5" ht="22" customHeight="1">
      <c r="A5" s="4" t="inlineStr">
        <is>
          <t>COT-20260903-083238</t>
        </is>
      </c>
      <c r="B5" s="4" t="inlineStr">
        <is>
          <t>2026-09-03</t>
        </is>
      </c>
      <c r="C5" s="5" t="inlineStr">
        <is>
          <t>Carlos Max Campoverde</t>
        </is>
      </c>
      <c r="D5" s="4" t="inlineStr">
        <is>
          <t>0930860044</t>
        </is>
      </c>
      <c r="E5" s="4" t="inlineStr">
        <is>
          <t>B2B</t>
        </is>
      </c>
      <c r="F5" s="4" t="inlineStr">
        <is>
          <t>72 días</t>
        </is>
      </c>
      <c r="G5" s="4" t="inlineStr">
        <is>
          <t>Facturada</t>
        </is>
      </c>
      <c r="H5" s="4" t="inlineStr">
        <is>
          <t>No (Cédula / N/A)</t>
        </is>
      </c>
      <c r="I5" s="6" t="inlineStr">
        <is>
          <t>• Licencia Microsoft Office 365 Professional (SOFT-001)</t>
        </is>
      </c>
      <c r="J5" s="4" t="n">
        <v>1</v>
      </c>
      <c r="K5" s="7" t="n">
        <v>84.5</v>
      </c>
      <c r="L5" s="7" t="n">
        <v>84.5</v>
      </c>
      <c r="M5" s="7" t="n">
        <v>272</v>
      </c>
      <c r="N5" s="7" t="n">
        <v>40.8</v>
      </c>
      <c r="O5" s="7" t="n">
        <v>312.8</v>
      </c>
      <c r="P5" s="7" t="n">
        <v>0</v>
      </c>
      <c r="Q5" s="7" t="n">
        <v>0</v>
      </c>
      <c r="R5" s="7" t="n">
        <v>0</v>
      </c>
      <c r="S5" s="8" t="n">
        <v>312.8</v>
      </c>
    </row>
    <row r="6" ht="22" customHeight="1">
      <c r="A6" s="4" t="inlineStr">
        <is>
          <t>COT-20260903-083238</t>
        </is>
      </c>
      <c r="B6" s="4" t="inlineStr">
        <is>
          <t>2026-09-03</t>
        </is>
      </c>
      <c r="C6" s="5" t="inlineStr">
        <is>
          <t>Carlos Max Campoverde</t>
        </is>
      </c>
      <c r="D6" s="4" t="inlineStr">
        <is>
          <t>0930860044</t>
        </is>
      </c>
      <c r="E6" s="4" t="inlineStr">
        <is>
          <t>B2B</t>
        </is>
      </c>
      <c r="F6" s="4" t="inlineStr">
        <is>
          <t>72 días</t>
        </is>
      </c>
      <c r="G6" s="4" t="inlineStr">
        <is>
          <t>Facturada</t>
        </is>
      </c>
      <c r="H6" s="4" t="inlineStr">
        <is>
          <t>No (Cédula / N/A)</t>
        </is>
      </c>
      <c r="I6" s="6" t="inlineStr">
        <is>
          <t>• Producto de Prueba - Proveedor: Sweet &amp; Coffee S.A. (PRD-TEST-LNK)</t>
        </is>
      </c>
      <c r="J6" s="4" t="n">
        <v>5</v>
      </c>
      <c r="K6" s="7" t="n">
        <v>37.5</v>
      </c>
      <c r="L6" s="7" t="n">
        <v>187.5</v>
      </c>
      <c r="M6" s="7" t="n">
        <v>272</v>
      </c>
      <c r="N6" s="7" t="n">
        <v>40.8</v>
      </c>
      <c r="O6" s="7" t="n">
        <v>312.8</v>
      </c>
      <c r="P6" s="7" t="n">
        <v>0</v>
      </c>
      <c r="Q6" s="7" t="n">
        <v>0</v>
      </c>
      <c r="R6" s="7" t="n">
        <v>0</v>
      </c>
      <c r="S6" s="8" t="n">
        <v>312.8</v>
      </c>
    </row>
    <row r="7" ht="22" customHeight="1">
      <c r="A7" s="9" t="inlineStr">
        <is>
          <t>COT-20260903-083303</t>
        </is>
      </c>
      <c r="B7" s="9" t="inlineStr">
        <is>
          <t>2026-09-03</t>
        </is>
      </c>
      <c r="C7" s="10" t="inlineStr">
        <is>
          <t>Sebastián Guillermo Menoscal</t>
        </is>
      </c>
      <c r="D7" s="9" t="inlineStr">
        <is>
          <t>0920000072</t>
        </is>
      </c>
      <c r="E7" s="9" t="inlineStr">
        <is>
          <t>B2C</t>
        </is>
      </c>
      <c r="F7" s="9" t="inlineStr">
        <is>
          <t>0 (Contado)</t>
        </is>
      </c>
      <c r="G7" s="9" t="inlineStr">
        <is>
          <t>Facturada</t>
        </is>
      </c>
      <c r="H7" s="9" t="inlineStr">
        <is>
          <t>No (Cédula / N/A)</t>
        </is>
      </c>
      <c r="I7" s="11" t="inlineStr">
        <is>
          <t>• Producto de Prueba - Proveedor: Sweet &amp; Coffee S.A. (PRD-TEST-LNK)</t>
        </is>
      </c>
      <c r="J7" s="9" t="n">
        <v>2</v>
      </c>
      <c r="K7" s="12" t="n">
        <v>33</v>
      </c>
      <c r="L7" s="12" t="n">
        <v>66</v>
      </c>
      <c r="M7" s="12" t="n">
        <v>444</v>
      </c>
      <c r="N7" s="12" t="n">
        <v>66.59999999999999</v>
      </c>
      <c r="O7" s="12" t="n">
        <v>510.6</v>
      </c>
      <c r="P7" s="12" t="n">
        <v>0</v>
      </c>
      <c r="Q7" s="12" t="n">
        <v>0</v>
      </c>
      <c r="R7" s="12" t="n">
        <v>0</v>
      </c>
      <c r="S7" s="13" t="n">
        <v>510.6</v>
      </c>
    </row>
    <row r="8" ht="22" customHeight="1">
      <c r="A8" s="9" t="inlineStr">
        <is>
          <t>COT-20260903-083303</t>
        </is>
      </c>
      <c r="B8" s="9" t="inlineStr">
        <is>
          <t>2026-09-03</t>
        </is>
      </c>
      <c r="C8" s="10" t="inlineStr">
        <is>
          <t>Sebastián Guillermo Menoscal</t>
        </is>
      </c>
      <c r="D8" s="9" t="inlineStr">
        <is>
          <t>0920000072</t>
        </is>
      </c>
      <c r="E8" s="9" t="inlineStr">
        <is>
          <t>B2C</t>
        </is>
      </c>
      <c r="F8" s="9" t="inlineStr">
        <is>
          <t>0 (Contado)</t>
        </is>
      </c>
      <c r="G8" s="9" t="inlineStr">
        <is>
          <t>Facturada</t>
        </is>
      </c>
      <c r="H8" s="9" t="inlineStr">
        <is>
          <t>No (Cédula / N/A)</t>
        </is>
      </c>
      <c r="I8" s="11" t="inlineStr">
        <is>
          <t>• Producto de Prueba (PRD-TEST)</t>
        </is>
      </c>
      <c r="J8" s="9" t="n">
        <v>12</v>
      </c>
      <c r="K8" s="12" t="n">
        <v>31.5</v>
      </c>
      <c r="L8" s="12" t="n">
        <v>378</v>
      </c>
      <c r="M8" s="12" t="n">
        <v>444</v>
      </c>
      <c r="N8" s="12" t="n">
        <v>66.59999999999999</v>
      </c>
      <c r="O8" s="12" t="n">
        <v>510.6</v>
      </c>
      <c r="P8" s="12" t="n">
        <v>0</v>
      </c>
      <c r="Q8" s="12" t="n">
        <v>0</v>
      </c>
      <c r="R8" s="12" t="n">
        <v>0</v>
      </c>
      <c r="S8" s="13" t="n">
        <v>510.6</v>
      </c>
    </row>
    <row r="9" ht="22" customHeight="1">
      <c r="A9" s="4" t="inlineStr">
        <is>
          <t>COT-20260827-102419</t>
        </is>
      </c>
      <c r="B9" s="4" t="inlineStr">
        <is>
          <t>2026-08-27</t>
        </is>
      </c>
      <c r="C9" s="5" t="inlineStr">
        <is>
          <t>Sebastián Guillermo Menoscal</t>
        </is>
      </c>
      <c r="D9" s="4" t="inlineStr">
        <is>
          <t>0920000072</t>
        </is>
      </c>
      <c r="E9" s="4" t="inlineStr">
        <is>
          <t>B2C</t>
        </is>
      </c>
      <c r="F9" s="4" t="inlineStr">
        <is>
          <t>0 (Contado)</t>
        </is>
      </c>
      <c r="G9" s="4" t="inlineStr">
        <is>
          <t>Facturada</t>
        </is>
      </c>
      <c r="H9" s="4" t="inlineStr">
        <is>
          <t>No (Cédula / N/A)</t>
        </is>
      </c>
      <c r="I9" s="6" t="inlineStr">
        <is>
          <t>• Taladro Perforador 800W (FER-555)</t>
        </is>
      </c>
      <c r="J9" s="4" t="n">
        <v>1</v>
      </c>
      <c r="K9" s="7" t="n">
        <v>110.5</v>
      </c>
      <c r="L9" s="7" t="n">
        <v>110.5</v>
      </c>
      <c r="M9" s="7" t="n">
        <v>149.5</v>
      </c>
      <c r="N9" s="7" t="n">
        <v>22.425</v>
      </c>
      <c r="O9" s="7" t="n">
        <v>171.93</v>
      </c>
      <c r="P9" s="7" t="n">
        <v>0</v>
      </c>
      <c r="Q9" s="7" t="n">
        <v>0</v>
      </c>
      <c r="R9" s="7" t="n">
        <v>0</v>
      </c>
      <c r="S9" s="8" t="n">
        <v>171.93</v>
      </c>
    </row>
    <row r="10" ht="22" customHeight="1">
      <c r="A10" s="4" t="inlineStr">
        <is>
          <t>COT-20260827-102419</t>
        </is>
      </c>
      <c r="B10" s="4" t="inlineStr">
        <is>
          <t>2026-08-27</t>
        </is>
      </c>
      <c r="C10" s="5" t="inlineStr">
        <is>
          <t>Sebastián Guillermo Menoscal</t>
        </is>
      </c>
      <c r="D10" s="4" t="inlineStr">
        <is>
          <t>0920000072</t>
        </is>
      </c>
      <c r="E10" s="4" t="inlineStr">
        <is>
          <t>B2C</t>
        </is>
      </c>
      <c r="F10" s="4" t="inlineStr">
        <is>
          <t>0 (Contado)</t>
        </is>
      </c>
      <c r="G10" s="4" t="inlineStr">
        <is>
          <t>Facturada</t>
        </is>
      </c>
      <c r="H10" s="4" t="inlineStr">
        <is>
          <t>No (Cédula / N/A)</t>
        </is>
      </c>
      <c r="I10" s="6" t="inlineStr">
        <is>
          <t>• Producto de Prueba (PRD-TEST)</t>
        </is>
      </c>
      <c r="J10" s="4" t="n">
        <v>1</v>
      </c>
      <c r="K10" s="7" t="n">
        <v>39</v>
      </c>
      <c r="L10" s="7" t="n">
        <v>39</v>
      </c>
      <c r="M10" s="7" t="n">
        <v>149.5</v>
      </c>
      <c r="N10" s="7" t="n">
        <v>22.425</v>
      </c>
      <c r="O10" s="7" t="n">
        <v>171.93</v>
      </c>
      <c r="P10" s="7" t="n">
        <v>0</v>
      </c>
      <c r="Q10" s="7" t="n">
        <v>0</v>
      </c>
      <c r="R10" s="7" t="n">
        <v>0</v>
      </c>
      <c r="S10" s="8" t="n">
        <v>171.93</v>
      </c>
    </row>
    <row r="11" ht="22" customHeight="1">
      <c r="A11" s="9" t="inlineStr">
        <is>
          <t>COT-20260826-213811</t>
        </is>
      </c>
      <c r="B11" s="9" t="inlineStr">
        <is>
          <t>2026-08-26</t>
        </is>
      </c>
      <c r="C11" s="10" t="inlineStr">
        <is>
          <t>Carlos Max Campoverde</t>
        </is>
      </c>
      <c r="D11" s="9" t="inlineStr">
        <is>
          <t>0930860044</t>
        </is>
      </c>
      <c r="E11" s="9" t="inlineStr">
        <is>
          <t>B2B</t>
        </is>
      </c>
      <c r="F11" s="9" t="inlineStr">
        <is>
          <t>72 días</t>
        </is>
      </c>
      <c r="G11" s="9" t="inlineStr">
        <is>
          <t>Facturada</t>
        </is>
      </c>
      <c r="H11" s="9" t="inlineStr">
        <is>
          <t>No (Cédula / N/A)</t>
        </is>
      </c>
      <c r="I11" s="11" t="inlineStr">
        <is>
          <t>• Licencia Microsoft Office 365 Professional (SOFT-001)</t>
        </is>
      </c>
      <c r="J11" s="9" t="n">
        <v>2</v>
      </c>
      <c r="K11" s="12" t="n">
        <v>84.5</v>
      </c>
      <c r="L11" s="12" t="n">
        <v>169</v>
      </c>
      <c r="M11" s="12" t="n">
        <v>337.25</v>
      </c>
      <c r="N11" s="12" t="n">
        <v>50.5875</v>
      </c>
      <c r="O11" s="12" t="n">
        <v>387.84</v>
      </c>
      <c r="P11" s="12" t="n">
        <v>0</v>
      </c>
      <c r="Q11" s="12" t="n">
        <v>0</v>
      </c>
      <c r="R11" s="12" t="n">
        <v>0</v>
      </c>
      <c r="S11" s="13" t="n">
        <v>387.84</v>
      </c>
    </row>
    <row r="12" ht="22" customHeight="1">
      <c r="A12" s="9" t="inlineStr">
        <is>
          <t>COT-20260826-213811</t>
        </is>
      </c>
      <c r="B12" s="9" t="inlineStr">
        <is>
          <t>2026-08-26</t>
        </is>
      </c>
      <c r="C12" s="10" t="inlineStr">
        <is>
          <t>Carlos Max Campoverde</t>
        </is>
      </c>
      <c r="D12" s="9" t="inlineStr">
        <is>
          <t>0930860044</t>
        </is>
      </c>
      <c r="E12" s="9" t="inlineStr">
        <is>
          <t>B2B</t>
        </is>
      </c>
      <c r="F12" s="9" t="inlineStr">
        <is>
          <t>72 días</t>
        </is>
      </c>
      <c r="G12" s="9" t="inlineStr">
        <is>
          <t>Facturada</t>
        </is>
      </c>
      <c r="H12" s="9" t="inlineStr">
        <is>
          <t>No (Cédula / N/A)</t>
        </is>
      </c>
      <c r="I12" s="11" t="inlineStr">
        <is>
          <t>• Tornillo Hexagonal 3/8 (PRD-004)</t>
        </is>
      </c>
      <c r="J12" s="9" t="n">
        <v>12</v>
      </c>
      <c r="K12" s="12" t="n">
        <v>1.5625</v>
      </c>
      <c r="L12" s="12" t="n">
        <v>18.75</v>
      </c>
      <c r="M12" s="12" t="n">
        <v>337.25</v>
      </c>
      <c r="N12" s="12" t="n">
        <v>50.5875</v>
      </c>
      <c r="O12" s="12" t="n">
        <v>387.84</v>
      </c>
      <c r="P12" s="12" t="n">
        <v>0</v>
      </c>
      <c r="Q12" s="12" t="n">
        <v>0</v>
      </c>
      <c r="R12" s="12" t="n">
        <v>0</v>
      </c>
      <c r="S12" s="13" t="n">
        <v>387.84</v>
      </c>
    </row>
    <row r="13" ht="22" customHeight="1">
      <c r="A13" s="9" t="inlineStr">
        <is>
          <t>COT-20260826-213811</t>
        </is>
      </c>
      <c r="B13" s="9" t="inlineStr">
        <is>
          <t>2026-08-26</t>
        </is>
      </c>
      <c r="C13" s="10" t="inlineStr">
        <is>
          <t>Carlos Max Campoverde</t>
        </is>
      </c>
      <c r="D13" s="9" t="inlineStr">
        <is>
          <t>0930860044</t>
        </is>
      </c>
      <c r="E13" s="9" t="inlineStr">
        <is>
          <t>B2B</t>
        </is>
      </c>
      <c r="F13" s="9" t="inlineStr">
        <is>
          <t>72 días</t>
        </is>
      </c>
      <c r="G13" s="9" t="inlineStr">
        <is>
          <t>Facturada</t>
        </is>
      </c>
      <c r="H13" s="9" t="inlineStr">
        <is>
          <t>No (Cédula / N/A)</t>
        </is>
      </c>
      <c r="I13" s="11" t="inlineStr">
        <is>
          <t>• Licencia Microsoft Office 365 Professional - Proveedor: Importadora Central Quito (SOFT-001-LNK)</t>
        </is>
      </c>
      <c r="J13" s="9" t="n">
        <v>2</v>
      </c>
      <c r="K13" s="12" t="n">
        <v>74.75</v>
      </c>
      <c r="L13" s="12" t="n">
        <v>149.5</v>
      </c>
      <c r="M13" s="12" t="n">
        <v>337.25</v>
      </c>
      <c r="N13" s="12" t="n">
        <v>50.5875</v>
      </c>
      <c r="O13" s="12" t="n">
        <v>387.84</v>
      </c>
      <c r="P13" s="12" t="n">
        <v>0</v>
      </c>
      <c r="Q13" s="12" t="n">
        <v>0</v>
      </c>
      <c r="R13" s="12" t="n">
        <v>0</v>
      </c>
      <c r="S13" s="13" t="n">
        <v>387.84</v>
      </c>
    </row>
    <row r="14" ht="22" customHeight="1">
      <c r="A14" s="4" t="inlineStr">
        <is>
          <t>COT-20260825-212633</t>
        </is>
      </c>
      <c r="B14" s="4" t="inlineStr">
        <is>
          <t>2026-08-25</t>
        </is>
      </c>
      <c r="C14" s="5" t="inlineStr">
        <is>
          <t>Cliente de Prueba B2B S.A.</t>
        </is>
      </c>
      <c r="D14" s="4" t="inlineStr">
        <is>
          <t>0920000064001</t>
        </is>
      </c>
      <c r="E14" s="4" t="inlineStr">
        <is>
          <t>B2B</t>
        </is>
      </c>
      <c r="F14" s="4" t="inlineStr">
        <is>
          <t>72 días</t>
        </is>
      </c>
      <c r="G14" s="4" t="inlineStr">
        <is>
          <t>Facturada</t>
        </is>
      </c>
      <c r="H14" s="4" t="inlineStr">
        <is>
          <t>Sí (RUC 13 dígitos)</t>
        </is>
      </c>
      <c r="I14" s="6" t="inlineStr">
        <is>
          <t>• Ítem Comercial General (PROD-GEN)</t>
        </is>
      </c>
      <c r="J14" s="4" t="n">
        <v>1</v>
      </c>
      <c r="K14" s="7" t="n">
        <v>75</v>
      </c>
      <c r="L14" s="7" t="n">
        <v>75</v>
      </c>
      <c r="M14" s="7" t="n">
        <v>75</v>
      </c>
      <c r="N14" s="7" t="n">
        <v>11.25</v>
      </c>
      <c r="O14" s="7" t="n">
        <v>86.25</v>
      </c>
      <c r="P14" s="7" t="n">
        <v>1.31</v>
      </c>
      <c r="Q14" s="7" t="n">
        <v>3.38</v>
      </c>
      <c r="R14" s="14" t="n">
        <v>4.69</v>
      </c>
      <c r="S14" s="8" t="n">
        <v>81.56</v>
      </c>
    </row>
    <row r="15" ht="22" customHeight="1">
      <c r="A15" s="9" t="inlineStr">
        <is>
          <t>COT-20260819-175711</t>
        </is>
      </c>
      <c r="B15" s="9" t="inlineStr">
        <is>
          <t>2026-08-19</t>
        </is>
      </c>
      <c r="C15" s="10" t="inlineStr">
        <is>
          <t>Cliente de Prueba B2B S.A.</t>
        </is>
      </c>
      <c r="D15" s="9" t="inlineStr">
        <is>
          <t>0920000023001</t>
        </is>
      </c>
      <c r="E15" s="9" t="inlineStr">
        <is>
          <t>B2B</t>
        </is>
      </c>
      <c r="F15" s="9" t="inlineStr">
        <is>
          <t>72 días</t>
        </is>
      </c>
      <c r="G15" s="9" t="inlineStr">
        <is>
          <t>Facturada</t>
        </is>
      </c>
      <c r="H15" s="9" t="inlineStr">
        <is>
          <t>Sí (RUC 13 dígitos)</t>
        </is>
      </c>
      <c r="I15" s="11" t="inlineStr">
        <is>
          <t>• Ítem Comercial General (PROD-GEN)</t>
        </is>
      </c>
      <c r="J15" s="9" t="n">
        <v>1</v>
      </c>
      <c r="K15" s="12" t="n">
        <v>75</v>
      </c>
      <c r="L15" s="12" t="n">
        <v>75</v>
      </c>
      <c r="M15" s="12" t="n">
        <v>75</v>
      </c>
      <c r="N15" s="12" t="n">
        <v>11.25</v>
      </c>
      <c r="O15" s="12" t="n">
        <v>86.25</v>
      </c>
      <c r="P15" s="12" t="n">
        <v>1.31</v>
      </c>
      <c r="Q15" s="12" t="n">
        <v>3.38</v>
      </c>
      <c r="R15" s="15" t="n">
        <v>4.69</v>
      </c>
      <c r="S15" s="13" t="n">
        <v>81.56</v>
      </c>
    </row>
    <row r="16" ht="22" customHeight="1">
      <c r="A16" s="4" t="inlineStr">
        <is>
          <t>COT-20260819-181108</t>
        </is>
      </c>
      <c r="B16" s="4" t="inlineStr">
        <is>
          <t>2026-08-19</t>
        </is>
      </c>
      <c r="C16" s="5" t="inlineStr">
        <is>
          <t>Cliente de Prueba B2B S.A.</t>
        </is>
      </c>
      <c r="D16" s="4" t="inlineStr">
        <is>
          <t>0920000031001</t>
        </is>
      </c>
      <c r="E16" s="4" t="inlineStr">
        <is>
          <t>B2B</t>
        </is>
      </c>
      <c r="F16" s="4" t="inlineStr">
        <is>
          <t>72 días</t>
        </is>
      </c>
      <c r="G16" s="4" t="inlineStr">
        <is>
          <t>Facturada</t>
        </is>
      </c>
      <c r="H16" s="4" t="inlineStr">
        <is>
          <t>Sí (RUC 13 dígitos)</t>
        </is>
      </c>
      <c r="I16" s="6" t="inlineStr">
        <is>
          <t>• Ítem Comercial General (PROD-GEN)</t>
        </is>
      </c>
      <c r="J16" s="4" t="n">
        <v>1</v>
      </c>
      <c r="K16" s="7" t="n">
        <v>75</v>
      </c>
      <c r="L16" s="7" t="n">
        <v>75</v>
      </c>
      <c r="M16" s="7" t="n">
        <v>75</v>
      </c>
      <c r="N16" s="7" t="n">
        <v>11.25</v>
      </c>
      <c r="O16" s="7" t="n">
        <v>86.25</v>
      </c>
      <c r="P16" s="7" t="n">
        <v>1.31</v>
      </c>
      <c r="Q16" s="7" t="n">
        <v>3.38</v>
      </c>
      <c r="R16" s="14" t="n">
        <v>4.69</v>
      </c>
      <c r="S16" s="8" t="n">
        <v>81.56</v>
      </c>
    </row>
    <row r="17" ht="22" customHeight="1">
      <c r="A17" s="9" t="inlineStr">
        <is>
          <t>COT-2026-001</t>
        </is>
      </c>
      <c r="B17" s="9" t="inlineStr">
        <is>
          <t>2026-08-07</t>
        </is>
      </c>
      <c r="C17" s="10" t="inlineStr">
        <is>
          <t>Ministerio de Obras Públicas Zonal 8</t>
        </is>
      </c>
      <c r="D17" s="9" t="inlineStr">
        <is>
          <t>0960001110001</t>
        </is>
      </c>
      <c r="E17" s="9" t="inlineStr">
        <is>
          <t>B2B</t>
        </is>
      </c>
      <c r="F17" s="9" t="inlineStr">
        <is>
          <t>72 días</t>
        </is>
      </c>
      <c r="G17" s="9" t="inlineStr">
        <is>
          <t>Facturada</t>
        </is>
      </c>
      <c r="H17" s="9" t="inlineStr">
        <is>
          <t>Sí (RUC 13 dígitos)</t>
        </is>
      </c>
      <c r="I17" s="11" t="inlineStr">
        <is>
          <t>• Ítem Comercial General (PROD-GEN)</t>
        </is>
      </c>
      <c r="J17" s="9" t="n">
        <v>1</v>
      </c>
      <c r="K17" s="12" t="n">
        <v>1500</v>
      </c>
      <c r="L17" s="12" t="n">
        <v>1500</v>
      </c>
      <c r="M17" s="12" t="n">
        <v>1500</v>
      </c>
      <c r="N17" s="12" t="n">
        <v>225</v>
      </c>
      <c r="O17" s="12" t="n">
        <v>1725</v>
      </c>
      <c r="P17" s="12" t="n">
        <v>26.25</v>
      </c>
      <c r="Q17" s="12" t="n">
        <v>67.5</v>
      </c>
      <c r="R17" s="15" t="n">
        <v>93.75</v>
      </c>
      <c r="S17" s="13" t="n">
        <v>1631.25</v>
      </c>
    </row>
    <row r="18" ht="22" customHeight="1">
      <c r="A18" s="4" t="inlineStr">
        <is>
          <t>COT-2026-002</t>
        </is>
      </c>
      <c r="B18" s="4" t="inlineStr">
        <is>
          <t>2026-08-07</t>
        </is>
      </c>
      <c r="C18" s="5" t="inlineStr">
        <is>
          <t>Juan Fernando Gómez</t>
        </is>
      </c>
      <c r="D18" s="4" t="inlineStr">
        <is>
          <t>0920000015</t>
        </is>
      </c>
      <c r="E18" s="4" t="inlineStr">
        <is>
          <t>B2C</t>
        </is>
      </c>
      <c r="F18" s="4" t="inlineStr">
        <is>
          <t>0 (Contado)</t>
        </is>
      </c>
      <c r="G18" s="4" t="inlineStr">
        <is>
          <t>Aprobada</t>
        </is>
      </c>
      <c r="H18" s="4" t="inlineStr">
        <is>
          <t>No (Cédula / N/A)</t>
        </is>
      </c>
      <c r="I18" s="6" t="inlineStr">
        <is>
          <t>• Licencia Microsoft Office 365 Professional (SOFT-001)</t>
        </is>
      </c>
      <c r="J18" s="4" t="n">
        <v>2</v>
      </c>
      <c r="K18" s="7" t="n">
        <v>65</v>
      </c>
      <c r="L18" s="7" t="n">
        <v>130</v>
      </c>
      <c r="M18" s="7" t="n">
        <v>120</v>
      </c>
      <c r="N18" s="7" t="n">
        <v>18</v>
      </c>
      <c r="O18" s="7" t="n">
        <v>138</v>
      </c>
      <c r="P18" s="7" t="n">
        <v>0</v>
      </c>
      <c r="Q18" s="7" t="n">
        <v>0</v>
      </c>
      <c r="R18" s="7" t="n">
        <v>0</v>
      </c>
      <c r="S18" s="8" t="n">
        <v>138</v>
      </c>
    </row>
    <row r="19" ht="26" customHeight="1">
      <c r="A19" s="16" t="inlineStr">
        <is>
          <t>TOTAL GENERAL:</t>
        </is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8">
        <f>SUM(M5:M18)</f>
        <v/>
      </c>
      <c r="N19" s="18">
        <f>SUM(N5:N18)</f>
        <v/>
      </c>
      <c r="O19" s="18">
        <f>SUM(O5:O18)</f>
        <v/>
      </c>
      <c r="P19" s="18">
        <f>SUM(P5:P18)</f>
        <v/>
      </c>
      <c r="Q19" s="18">
        <f>SUM(Q5:Q18)</f>
        <v/>
      </c>
      <c r="R19" s="18">
        <f>SUM(R5:R18)</f>
        <v/>
      </c>
      <c r="S19" s="18">
        <f>SUM(S5:S18)</f>
        <v/>
      </c>
    </row>
  </sheetData>
  <mergeCells count="3">
    <mergeCell ref="A19:L19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2026-09-03T16:25:36Z</dcterms:created>
  <dcterms:modified xsi:type="dcterms:W3CDTF">2026-09-03T16:25:36Z</dcterms:modified>
</cp:coreProperties>
</file>